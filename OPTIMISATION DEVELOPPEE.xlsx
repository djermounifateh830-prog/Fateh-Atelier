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ELIER ALGER\ATELIER ALGER\"/>
    </mc:Choice>
  </mc:AlternateContent>
  <xr:revisionPtr revIDLastSave="0" documentId="13_ncr:1_{0E510950-C72A-4A61-A1A8-6B70FB1AFF0B}" xr6:coauthVersionLast="47" xr6:coauthVersionMax="47" xr10:uidLastSave="{00000000-0000-0000-0000-000000000000}"/>
  <bookViews>
    <workbookView xWindow="-120" yWindow="-120" windowWidth="25440" windowHeight="15270" xr2:uid="{AF2F8C86-45AB-4414-B99D-1CFC526CC43F}"/>
  </bookViews>
  <sheets>
    <sheet name="BASE DES DONN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I13" i="1"/>
  <c r="J16" i="1"/>
  <c r="L16" i="1"/>
  <c r="I16" i="1"/>
  <c r="H16" i="1"/>
  <c r="G16" i="1"/>
  <c r="J15" i="1"/>
  <c r="K16" i="1" l="1"/>
  <c r="L15" i="1"/>
  <c r="L14" i="1"/>
  <c r="I15" i="1"/>
  <c r="H15" i="1"/>
  <c r="G15" i="1"/>
  <c r="K13" i="1"/>
  <c r="J14" i="1"/>
  <c r="J13" i="1"/>
  <c r="I14" i="1"/>
  <c r="K14" i="1" s="1"/>
  <c r="H14" i="1"/>
  <c r="G14" i="1"/>
  <c r="H13" i="1"/>
  <c r="K15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<sst xmlns="http://schemas.openxmlformats.org/spreadsheetml/2006/main" count="15" uniqueCount="15">
  <si>
    <t>PHOTO</t>
  </si>
  <si>
    <t>DESIGNATION</t>
  </si>
  <si>
    <t>SUPERFICIE</t>
  </si>
  <si>
    <t>DISTANCE ENTRE CORDE</t>
  </si>
  <si>
    <t xml:space="preserve">Nbr  DES CORDES </t>
  </si>
  <si>
    <t xml:space="preserve">BAIE 2 VENTAUX </t>
  </si>
  <si>
    <t>L</t>
  </si>
  <si>
    <t>H</t>
  </si>
  <si>
    <t>FENETRE</t>
  </si>
  <si>
    <t>QNT</t>
  </si>
  <si>
    <t>QNT CORDE (M)</t>
  </si>
  <si>
    <t>QNT GLOBLAE CORDE (M)</t>
  </si>
  <si>
    <t xml:space="preserve">PORTE FENETRE </t>
  </si>
  <si>
    <t xml:space="preserve">NBR DES PLIES </t>
  </si>
  <si>
    <t xml:space="preserve">CENTRALE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</si>
</sst>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920E-E1C1-47DE-9A78-C32018DF887E}">
  <dimension ref="B12:M19"/>
  <sheetViews>
    <sheetView tabSelected="1" topLeftCell="B13" workbookViewId="0">
      <selection activeCell="T15" sqref="T15"/>
    </sheetView>
  </sheetViews>
  <sheetFormatPr defaultRowHeight="15" x14ac:dyDescent="0.25"/>
  <cols>
    <col min="2" max="2" width="23.140625" customWidth="1"/>
    <col min="3" max="3" width="4.85546875" bestFit="1" customWidth="1"/>
    <col min="4" max="4" width="15.42578125" bestFit="1" customWidth="1"/>
    <col min="5" max="5" width="13.7109375" customWidth="1"/>
    <col min="6" max="6" width="11.85546875" customWidth="1"/>
    <col min="7" max="7" width="15.28515625" hidden="1" customWidth="1"/>
    <col min="8" max="8" width="22.42578125" hidden="1" customWidth="1"/>
    <col min="9" max="9" width="18.140625" bestFit="1" customWidth="1"/>
    <col min="10" max="10" width="14.85546875" bestFit="1" customWidth="1"/>
    <col min="11" max="11" width="23.28515625" hidden="1" customWidth="1"/>
    <col min="12" max="12" width="14" bestFit="1" customWidth="1"/>
  </cols>
  <sheetData>
    <row r="12" spans="2:12" x14ac:dyDescent="0.25">
      <c r="B12" s="1" t="s">
        <v>0</v>
      </c>
      <c r="C12" s="1" t="s">
        <v>9</v>
      </c>
      <c r="D12" s="1" t="s">
        <v>1</v>
      </c>
      <c r="E12" s="1" t="s">
        <v>6</v>
      </c>
      <c r="F12" s="1" t="s">
        <v>7</v>
      </c>
      <c r="G12" s="1" t="s">
        <v>2</v>
      </c>
      <c r="H12" s="1" t="s">
        <v>3</v>
      </c>
      <c r="I12" s="9" t="s">
        <v>4</v>
      </c>
      <c r="J12" s="9" t="s">
        <v>10</v>
      </c>
      <c r="K12" s="3" t="s">
        <v>11</v>
      </c>
      <c r="L12" s="7" t="s">
        <v>13</v>
      </c>
    </row>
    <row r="13" spans="2:12" ht="106.5" customHeight="1" x14ac:dyDescent="0.25">
      <c r="B13" s="1" t="e" vm="1">
        <v>#VALUE!</v>
      </c>
      <c r="C13" s="1">
        <v>1</v>
      </c>
      <c r="D13" s="1" t="s">
        <v>5</v>
      </c>
      <c r="E13" s="1">
        <v>0</v>
      </c>
      <c r="F13" s="1">
        <v>0</v>
      </c>
      <c r="G13" s="2">
        <v>2095</v>
      </c>
      <c r="H13" s="2">
        <f>IF(AND((F13-400)/2&gt;=250,(F13-400)/2&lt;=370),(F13-400)/2,
IF(AND((F13-400)/3&gt;=250,(F13-400)/3&lt;=370),(F13-400)/3,
IF(AND((F13-400)/4&gt;=250,(F13-400)/4&lt;=370),(F13-400)/4,
IF(AND((F13-400)/5&gt;=250,(F13-400)/5&lt;=370),(F13-400)/5,
IF(AND((F13-400)/6&gt;=250,(F13-400)/6&lt;=370),(F13-400)/6,
IF(AND((F13-400)/7&gt;=250,(F13-400)/7&lt;=370),(F13-400)/7,
IF(AND((F13-400)/8&gt;=250,(F13-400)/8&lt;=370),(F13-400)/8,IF(AND((F13-400)/2&gt;=200,(F13-400)/2&lt;250),(F13-400)/2,F13-400))))))))</f>
        <v>-400</v>
      </c>
      <c r="I13" s="9">
        <f>((IF(AND(F13/2&gt;=250,F13/2&lt;=370),2,
IF(AND(F13/3&gt;=250,F13/3&lt;=370),3,
IF(AND(F13/4&gt;=250,F13/4&lt;=370),4,
IF(AND(F13/5&gt;=250,F13/5&lt;=370),5,
IF(AND(F13/6&gt;=250,F13/6&lt;=370),6,
IF(AND(F13/7&gt;=250,F13/7&lt;=370),7,
IF(AND(F13/8&gt;=250,F13/8&lt;=370),8,
2))))))))*C13)</f>
        <v>2</v>
      </c>
      <c r="J13" s="9">
        <f>((((F13+E13)/2)*2)/1000)</f>
        <v>0</v>
      </c>
      <c r="K13" s="1">
        <f>((((F13+E13)/2)*2)/1000)*I13</f>
        <v>0</v>
      </c>
      <c r="L13" s="8">
        <f>(E13/2)/25+2</f>
        <v>2</v>
      </c>
    </row>
    <row r="14" spans="2:12" ht="107.25" customHeight="1" x14ac:dyDescent="0.25">
      <c r="B14" s="1" t="e" vm="2">
        <v>#VALUE!</v>
      </c>
      <c r="C14" s="1">
        <v>1</v>
      </c>
      <c r="D14" s="1" t="s">
        <v>8</v>
      </c>
      <c r="E14" s="1">
        <v>0</v>
      </c>
      <c r="F14" s="1">
        <v>0</v>
      </c>
      <c r="G14" s="2">
        <f>((E14/1000)*(F14/1000))*C14</f>
        <v>0</v>
      </c>
      <c r="H14" s="2">
        <f>IF(AND((E14-400)/2&gt;=250,(E14-400)/2&lt;=370),(E14-400)/2,
IF(AND((E14-400)/3&gt;=250,(E14-400)/3&lt;=370),(E14-400)/3,
IF(AND((E14-400)/4&gt;=250,(E14-400)/4&lt;=370),(E14-400)/4,
IF(AND((E14-400)/5&gt;=250,(E14-400)/5&lt;=370),(E14-400)/5,
IF(AND((E14-400)/6&gt;=250,(E14-400)/6&lt;=370),(E14-400)/6,
IF(AND((E14-400)/7&gt;=250,(E14-400)/7&lt;=370),(E14-400)/7,
IF(AND((E14-400)/8&gt;=250,(E14-400)/8&lt;=370),(E14-400)/8,IF(AND((E14-400)/2&gt;=200,(E14-400)/2&lt;250),(E14-400)/2,E14-400))))))))</f>
        <v>-400</v>
      </c>
      <c r="I14" s="9">
        <f>(IF(AND(E14/2&gt;=250,E14/2&lt;=370),2,
IF(AND(E14/3&gt;=250,E14/3&lt;=370),3,
IF(AND(E14/4&gt;=250,E14/4&lt;=370),4,
IF(AND(E14/5&gt;=250,E14/5&lt;=370),5,
IF(AND(E14/6&gt;=250,E14/6&lt;=370),6,
IF(AND(E14/7&gt;=250,E14/7&lt;=370),7,
IF(AND(E14/8&gt;=250,E14/8&lt;=370),8,
2))))))))*C14</f>
        <v>2</v>
      </c>
      <c r="J14" s="9">
        <f>(((E14*1.5)+F14)/1000)</f>
        <v>0</v>
      </c>
      <c r="K14" s="1">
        <f>(((E14*1.5)+F14)/1000)*I14</f>
        <v>0</v>
      </c>
      <c r="L14" s="8">
        <f>F14/25+2</f>
        <v>2</v>
      </c>
    </row>
    <row r="15" spans="2:12" ht="105.75" customHeight="1" x14ac:dyDescent="0.25">
      <c r="B15" s="1" t="e" vm="3">
        <v>#VALUE!</v>
      </c>
      <c r="C15" s="1">
        <v>1</v>
      </c>
      <c r="D15" s="1" t="s">
        <v>12</v>
      </c>
      <c r="E15" s="1">
        <v>0</v>
      </c>
      <c r="F15" s="1">
        <v>0</v>
      </c>
      <c r="G15" s="2">
        <f>((E15/1000)*(F15/1000))*C15</f>
        <v>0</v>
      </c>
      <c r="H15" s="2">
        <f>IF(AND((F15-400)/2&gt;=250,(F15-400)/2&lt;=370),(F15-400)/2,
IF(AND((F15-400)/3&gt;=250,(F15-400)/3&lt;=370),(F15-400)/3,
IF(AND((F15-400)/4&gt;=250,(F15-400)/4&lt;=370),(F15-400)/4,
IF(AND((F15-400)/5&gt;=250,(F15-400)/5&lt;=370),(F15-400)/5,
IF(AND((F15-400)/6&gt;=250,(F15-400)/6&lt;=370),(F15-400)/6,
IF(AND((F15-400)/7&gt;=250,(F15-400)/7&lt;=370),(F15-400)/7,
IF(AND((F15-400)/8&gt;=250,(F15-400)/8&lt;=370),(F15-400)/8,IF(AND((F15-400)/2&gt;=200,(F15-400)/2&lt;250),(F15-400)/2,F15-400))))))))</f>
        <v>-400</v>
      </c>
      <c r="I15" s="9">
        <f>((IF(AND(F15/2&gt;=250,F15/2&lt;=370),2,
IF(AND(F15/3&gt;=250,F15/3&lt;=370),3,
IF(AND(F15/4&gt;=250,F15/4&lt;=370),4,
IF(AND(F15/5&gt;=250,F15/5&lt;=370),5,
IF(AND(F15/6&gt;=250,F15/6&lt;=370),6,
IF(AND(F15/7&gt;=250,F15/7&lt;=370),7,
IF(AND(F15/8&gt;=250,F15/8&lt;=370),8,
2))))))))*C15)</f>
        <v>2</v>
      </c>
      <c r="J15" s="9">
        <f>(((F15*1.3)+E15)/1000)</f>
        <v>0</v>
      </c>
      <c r="K15" s="1">
        <f>J15*I15</f>
        <v>0</v>
      </c>
      <c r="L15" s="8">
        <f>E15/25+2</f>
        <v>2</v>
      </c>
    </row>
    <row r="16" spans="2:12" ht="108.75" customHeight="1" x14ac:dyDescent="0.25">
      <c r="B16" s="1" t="e" vm="4">
        <v>#VALUE!</v>
      </c>
      <c r="C16" s="1">
        <v>1</v>
      </c>
      <c r="D16" s="1" t="s">
        <v>14</v>
      </c>
      <c r="E16" s="1">
        <v>0</v>
      </c>
      <c r="F16" s="1">
        <v>0</v>
      </c>
      <c r="G16" s="2">
        <f>((E16/1000)*(F16/1000))*C16</f>
        <v>0</v>
      </c>
      <c r="H16" s="2">
        <f>IF(AND((F16-400)/2&gt;=250,(F16-400)/2&lt;=370),(F16-400)/2,
IF(AND((F16-400)/3&gt;=250,(F16-400)/3&lt;=370),(F16-400)/3,
IF(AND((F16-400)/4&gt;=250,(F16-400)/4&lt;=370),(F16-400)/4,
IF(AND((F16-400)/5&gt;=250,(F16-400)/5&lt;=370),(F16-400)/5,
IF(AND((F16-400)/6&gt;=250,(F16-400)/6&lt;=370),(F16-400)/6,
IF(AND((F16-400)/7&gt;=250,(F16-400)/7&lt;=370),(F16-400)/7,
IF(AND((F16-400)/8&gt;=250,(F16-400)/8&lt;=370),(F16-400)/8,IF(AND((F16-400)/2&gt;=200,(F16-400)/2&lt;250),(F16-400)/2,F16-400))))))))</f>
        <v>-400</v>
      </c>
      <c r="I16" s="9">
        <f>((IF(AND(F16/2&gt;=250,F16/2&lt;=370),2,
IF(AND(F16/3&gt;=250,F16/3&lt;=370),3,
IF(AND(F16/4&gt;=250,F16/4&lt;=370),4,
IF(AND(F16/5&gt;=250,F16/5&lt;=370),5,
IF(AND(F16/6&gt;=250,F16/6&lt;=370),6,
IF(AND(F16/7&gt;=250,F16/7&lt;=370),7,
IF(AND(F16/8&gt;=250,F16/8&lt;=370),8,
2))))))))*C16)</f>
        <v>2</v>
      </c>
      <c r="J16" s="9">
        <f>(((F16*2)+E16)/1000)</f>
        <v>0</v>
      </c>
      <c r="K16" s="1">
        <f>J16*I16</f>
        <v>0</v>
      </c>
      <c r="L16" s="8">
        <f>E16/25+2</f>
        <v>2</v>
      </c>
    </row>
    <row r="17" spans="3:13" x14ac:dyDescent="0.25">
      <c r="E17" s="4"/>
      <c r="F17" s="4"/>
    </row>
    <row r="19" spans="3:13" x14ac:dyDescent="0.25">
      <c r="C19" s="4"/>
      <c r="D19" s="4"/>
      <c r="E19" s="4"/>
      <c r="F19" s="4"/>
      <c r="G19" s="4"/>
      <c r="H19" s="5"/>
      <c r="I19" s="5"/>
      <c r="J19" s="4"/>
      <c r="K19" s="4"/>
      <c r="L19" s="4"/>
      <c r="M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DES DONNEES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2025-05-22T09:34:32Z</dcterms:created>
  <dcterms:modified xsi:type="dcterms:W3CDTF">2026-02-01T13:18:22Z</dcterms:modified>
</cp:coreProperties>
</file>